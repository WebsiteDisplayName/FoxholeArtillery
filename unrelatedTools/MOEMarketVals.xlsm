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Games\mythOfEmpiresTools\"/>
    </mc:Choice>
  </mc:AlternateContent>
  <xr:revisionPtr revIDLastSave="0" documentId="13_ncr:1_{8380F6DE-2289-476A-A679-03F893804E8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vals" sheetId="1" r:id="rId1"/>
    <sheet name="ingredient table" sheetId="4" r:id="rId2"/>
    <sheet name="manufacturing calc" sheetId="5" r:id="rId3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5" l="1"/>
  <c r="K15" i="5" s="1"/>
  <c r="J24" i="1"/>
  <c r="J23" i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G15" i="5"/>
  <c r="I15" i="5" s="1"/>
  <c r="J22" i="5"/>
  <c r="I22" i="5"/>
  <c r="J21" i="5"/>
  <c r="I21" i="5"/>
  <c r="J20" i="5"/>
  <c r="I20" i="5"/>
  <c r="J19" i="5"/>
  <c r="J18" i="5"/>
  <c r="J17" i="5"/>
  <c r="J16" i="5"/>
  <c r="N15" i="5" l="1"/>
  <c r="L15" i="5"/>
  <c r="M15" i="5" s="1"/>
</calcChain>
</file>

<file path=xl/sharedStrings.xml><?xml version="1.0" encoding="utf-8"?>
<sst xmlns="http://schemas.openxmlformats.org/spreadsheetml/2006/main" count="152" uniqueCount="81">
  <si>
    <t>Item Name</t>
  </si>
  <si>
    <t>Category</t>
  </si>
  <si>
    <t>Last updated</t>
  </si>
  <si>
    <t>raw meat</t>
  </si>
  <si>
    <t>na</t>
  </si>
  <si>
    <t>coarse hide</t>
  </si>
  <si>
    <t>fine hide</t>
  </si>
  <si>
    <t>flawless hide</t>
  </si>
  <si>
    <t>animal fur</t>
  </si>
  <si>
    <t>animal fat</t>
  </si>
  <si>
    <t>animal</t>
  </si>
  <si>
    <t>rare hide</t>
  </si>
  <si>
    <t>bone</t>
  </si>
  <si>
    <t>tendon</t>
  </si>
  <si>
    <t>horn</t>
  </si>
  <si>
    <t>fang</t>
  </si>
  <si>
    <t>mining</t>
  </si>
  <si>
    <t>copper ore</t>
  </si>
  <si>
    <t>iron ore</t>
  </si>
  <si>
    <t>characteristics</t>
  </si>
  <si>
    <t>black iron ore</t>
  </si>
  <si>
    <t>meteoric iron ore</t>
  </si>
  <si>
    <t>min selling price</t>
  </si>
  <si>
    <t>jade</t>
  </si>
  <si>
    <t>brimstone</t>
  </si>
  <si>
    <t>saltpeter</t>
  </si>
  <si>
    <t>coal</t>
  </si>
  <si>
    <t>crude salt</t>
  </si>
  <si>
    <t>black stone</t>
  </si>
  <si>
    <t>clay</t>
  </si>
  <si>
    <t>kaolin</t>
  </si>
  <si>
    <t>realgar</t>
  </si>
  <si>
    <t>rubble</t>
  </si>
  <si>
    <t>sand</t>
  </si>
  <si>
    <t>gypsum</t>
  </si>
  <si>
    <t>stone</t>
  </si>
  <si>
    <t>complete stone</t>
  </si>
  <si>
    <t>rare stone</t>
  </si>
  <si>
    <t>cutin</t>
  </si>
  <si>
    <t>ingot</t>
  </si>
  <si>
    <t>steel ingot</t>
  </si>
  <si>
    <t>copper ingot</t>
  </si>
  <si>
    <t>iron ingot</t>
  </si>
  <si>
    <t>black iron ingot</t>
  </si>
  <si>
    <t>meteoric iron ingot</t>
  </si>
  <si>
    <t>input name</t>
  </si>
  <si>
    <t>output name</t>
  </si>
  <si>
    <t>input quantity</t>
  </si>
  <si>
    <t>market input price</t>
  </si>
  <si>
    <t>market output price</t>
  </si>
  <si>
    <t>Tax Rate</t>
  </si>
  <si>
    <t>implied market output price to break even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</si>
  <si>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</si>
  <si>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</si>
  <si>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</si>
  <si>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</si>
  <si>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</si>
  <si>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</si>
  <si>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</si>
  <si>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</si>
  <si>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</si>
  <si>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</si>
  <si>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</si>
  <si>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vegetable oil</t>
  </si>
  <si>
    <t>plant</t>
  </si>
  <si>
    <t>low-quality flax</t>
  </si>
  <si>
    <t>bark</t>
  </si>
  <si>
    <t>linen</t>
  </si>
  <si>
    <t>cloth</t>
  </si>
  <si>
    <t>coarse cloth</t>
  </si>
  <si>
    <t xml:space="preserve">common flax </t>
  </si>
  <si>
    <t>common flax</t>
  </si>
  <si>
    <t>raw leather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</si>
  <si>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</si>
  <si>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</si>
  <si>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</si>
  <si>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Manufacturing Profit</t>
  </si>
  <si>
    <t>run macro:
ctrl + m
or, developer &gt; macros &gt; manufacturingAllCalc &gt; run</t>
  </si>
  <si>
    <t>after-tax income from selling at market price</t>
  </si>
  <si>
    <t>cost of production</t>
  </si>
  <si>
    <t>after-tax market output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</si>
</sst>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164" fontId="0" fillId="0" borderId="0" xfId="0" applyNumberFormat="1"/>
    <xf numFmtId="0" fontId="2" fillId="7" borderId="0" xfId="0" applyFon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11"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E200" totalsRowShown="0" headerRowDxfId="10">
  <autoFilter ref="A7:E200" xr:uid="{B7280AC4-A237-468B-B74F-2CE9C052ED05}"/>
  <tableColumns count="5">
    <tableColumn id="1" xr3:uid="{02511A4C-907E-4265-B002-8CD8853B0324}" name="Item Name"/>
    <tableColumn id="2" xr3:uid="{0549DBE8-F7D3-440F-B1BD-FA4872F0E32A}" name="Category"/>
    <tableColumn id="3" xr3:uid="{8D9FD4F1-4DD1-4BCE-8C4D-5050F8C21EB5}" name="min selling pric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N200" totalsRowShown="0">
  <autoFilter ref="D12:N200" xr:uid="{9F0016A1-758D-45C4-91BF-873B558EE650}"/>
  <tableColumns count="11">
    <tableColumn id="1" xr3:uid="{CDD36B55-E45C-4797-8BC2-908676E9CE93}" name="output produc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E14:N19" totalsRowShown="0" headerRowDxfId="9">
  <autoFilter ref="E14:N19" xr:uid="{B211B308-D116-40B4-BC69-DB7F5617B2F3}"/>
  <tableColumns count="10">
    <tableColumn id="8" xr3:uid="{D3CE3A6C-76BF-40B4-BCCE-8AFC87B3B5E2}" name="Tax Rate"/>
    <tableColumn id="1" xr3:uid="{B98CF6CE-FD5D-4F37-9E3F-C57ABFC24F71}" name="output name"/>
    <tableColumn id="2" xr3:uid="{7B09EA4C-40BB-48C3-943F-71EF8CF565D7}" name="input name" dataDxfId="8">
      <calculatedColumnFormula>IFERROR(VLOOKUP($F$15,'ingredient table'!$D$13:$N$267,4,FALSE),"")</calculatedColumnFormula>
    </tableColumn>
    <tableColumn id="3" xr3:uid="{9CE0BC4B-00A3-4550-B86E-244440FBD0B1}" name="input quantity">
      <calculatedColumnFormula>IFERROR(VLOOKUP($F$15,'ingredient table'!$D$13:$N$267,3,FALSE),"")</calculatedColumnFormula>
    </tableColumn>
    <tableColumn id="4" xr3:uid="{FDB85396-D278-4144-BA78-1EA731756E1E}" name="market input price" dataDxfId="7">
      <calculatedColumnFormula>IFERROR(VLOOKUP($G15,vals!$A$8:$E$200,3,FALSE),"")</calculatedColumnFormula>
    </tableColumn>
    <tableColumn id="5" xr3:uid="{35E14541-1607-4A67-847B-85E87247BA7A}" name="market output price" dataDxfId="6">
      <calculatedColumnFormula>IFERROR(VLOOKUP($F15,vals!$A$8:$E$200,3,FALSE),"")</calculatedColumnFormula>
    </tableColumn>
    <tableColumn id="12" xr3:uid="{7264620B-2DFB-45BC-B71F-8D2E840D461B}" name="after-tax market output price"/>
    <tableColumn id="6" xr3:uid="{9A18F587-16DF-4409-B48B-673FBDFC39CC}" name="cost of production" dataDxfId="5">
      <calculatedColumnFormula>SUMPRODUCT(H15:H19,I15:I19)/(1-Table134[[#This Row],[Tax Rate]])</calculatedColumnFormula>
    </tableColumn>
    <tableColumn id="7" xr3:uid="{CC4660E4-5569-4E0D-9CE9-307695D2B77A}" name="manufacturing profit" dataDxfId="4">
      <calculatedColumnFormula>Table134[[#This Row],[market output price]]-Table134[[#This Row],[cost of production]]</calculatedColumnFormula>
    </tableColumn>
    <tableColumn id="10" xr3:uid="{62CB0614-F222-4C80-853A-3694909BFE9F}" name="implied market output price to break even" dataDxfId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B1048576" totalsRowShown="0" headerRowDxfId="2" headerRowBorderDxfId="1" tableBorderDxfId="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3B4B9EF1-B019-4AA7-8583-8085AC7104A1}" name="Item Name"/>
    <tableColumn id="2" xr3:uid="{3AB33DA5-36C9-4E74-BB07-406CF16B5994}" name="Manufacturing 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J79"/>
  <sheetViews>
    <sheetView topLeftCell="A7" workbookViewId="0">
      <selection activeCell="J25" sqref="J25"/>
    </sheetView>
  </sheetViews>
  <sheetFormatPr defaultRowHeight="15" x14ac:dyDescent="0.25"/>
  <cols>
    <col min="1" max="1" width="18.28515625" bestFit="1" customWidth="1"/>
    <col min="2" max="2" width="11" customWidth="1"/>
    <col min="3" max="3" width="17.7109375" customWidth="1"/>
    <col min="4" max="4" width="19.140625" bestFit="1" customWidth="1"/>
    <col min="5" max="5" width="15.7109375" customWidth="1"/>
  </cols>
  <sheetData>
    <row r="5" spans="1:5" x14ac:dyDescent="0.25">
      <c r="D5" s="10" t="s">
        <v>74</v>
      </c>
    </row>
    <row r="7" spans="1:5" x14ac:dyDescent="0.25">
      <c r="A7" s="2" t="s">
        <v>0</v>
      </c>
      <c r="B7" s="2" t="s">
        <v>1</v>
      </c>
      <c r="C7" s="2" t="s">
        <v>22</v>
      </c>
      <c r="D7" s="2" t="s">
        <v>2</v>
      </c>
      <c r="E7" s="2" t="s">
        <v>19</v>
      </c>
    </row>
    <row r="8" spans="1:5" x14ac:dyDescent="0.25">
      <c r="A8" t="s">
        <v>8</v>
      </c>
      <c r="B8" t="s">
        <v>10</v>
      </c>
      <c r="C8">
        <v>1</v>
      </c>
      <c r="D8" s="13">
        <v>44601.206770833334</v>
      </c>
    </row>
    <row r="9" spans="1:5" x14ac:dyDescent="0.25">
      <c r="A9" t="s">
        <v>9</v>
      </c>
      <c r="B9" t="s">
        <v>10</v>
      </c>
      <c r="C9">
        <v>3</v>
      </c>
      <c r="D9" s="13">
        <v>44601.206863425927</v>
      </c>
    </row>
    <row r="10" spans="1:5" x14ac:dyDescent="0.25">
      <c r="A10" t="s">
        <v>3</v>
      </c>
      <c r="B10" t="s">
        <v>10</v>
      </c>
      <c r="C10" t="s">
        <v>4</v>
      </c>
      <c r="D10" s="1"/>
    </row>
    <row r="11" spans="1:5" x14ac:dyDescent="0.25">
      <c r="A11" t="s">
        <v>5</v>
      </c>
      <c r="B11" t="s">
        <v>10</v>
      </c>
      <c r="C11">
        <v>3</v>
      </c>
      <c r="D11" s="1"/>
    </row>
    <row r="12" spans="1:5" x14ac:dyDescent="0.25">
      <c r="A12" t="s">
        <v>6</v>
      </c>
      <c r="B12" t="s">
        <v>10</v>
      </c>
      <c r="C12">
        <v>3</v>
      </c>
      <c r="D12" s="1"/>
    </row>
    <row r="13" spans="1:5" x14ac:dyDescent="0.25">
      <c r="A13" t="s">
        <v>7</v>
      </c>
      <c r="B13" t="s">
        <v>10</v>
      </c>
      <c r="C13">
        <v>10</v>
      </c>
      <c r="D13" s="1"/>
    </row>
    <row r="14" spans="1:5" x14ac:dyDescent="0.25">
      <c r="A14" t="s">
        <v>11</v>
      </c>
      <c r="B14" t="s">
        <v>10</v>
      </c>
      <c r="C14">
        <v>13</v>
      </c>
      <c r="D14" s="1"/>
    </row>
    <row r="15" spans="1:5" x14ac:dyDescent="0.25">
      <c r="A15" t="s">
        <v>12</v>
      </c>
      <c r="B15" t="s">
        <v>10</v>
      </c>
      <c r="C15">
        <v>14</v>
      </c>
      <c r="D15" s="1"/>
    </row>
    <row r="16" spans="1:5" x14ac:dyDescent="0.25">
      <c r="A16" t="s">
        <v>13</v>
      </c>
      <c r="B16" t="s">
        <v>10</v>
      </c>
      <c r="C16">
        <v>3</v>
      </c>
      <c r="D16" s="1"/>
    </row>
    <row r="17" spans="1:10" x14ac:dyDescent="0.25">
      <c r="A17" t="s">
        <v>14</v>
      </c>
      <c r="B17" t="s">
        <v>10</v>
      </c>
      <c r="C17">
        <v>3</v>
      </c>
      <c r="D17" s="1"/>
    </row>
    <row r="18" spans="1:10" x14ac:dyDescent="0.25">
      <c r="A18" t="s">
        <v>15</v>
      </c>
      <c r="B18" t="s">
        <v>10</v>
      </c>
      <c r="C18">
        <v>2</v>
      </c>
      <c r="D18" s="1"/>
    </row>
    <row r="19" spans="1:10" x14ac:dyDescent="0.25">
      <c r="A19" t="s">
        <v>38</v>
      </c>
      <c r="B19" t="s">
        <v>10</v>
      </c>
      <c r="C19">
        <v>12</v>
      </c>
      <c r="D19" s="1"/>
    </row>
    <row r="20" spans="1:10" x14ac:dyDescent="0.25">
      <c r="A20" t="s">
        <v>17</v>
      </c>
      <c r="B20" t="s">
        <v>16</v>
      </c>
      <c r="C20">
        <v>5</v>
      </c>
      <c r="D20" s="1"/>
    </row>
    <row r="21" spans="1:10" x14ac:dyDescent="0.25">
      <c r="A21" t="s">
        <v>18</v>
      </c>
      <c r="B21" t="s">
        <v>16</v>
      </c>
      <c r="C21">
        <v>7</v>
      </c>
      <c r="D21" s="1"/>
    </row>
    <row r="22" spans="1:10" x14ac:dyDescent="0.25">
      <c r="A22" t="s">
        <v>20</v>
      </c>
      <c r="B22" t="s">
        <v>16</v>
      </c>
      <c r="C22">
        <v>21</v>
      </c>
      <c r="D22" s="1"/>
    </row>
    <row r="23" spans="1:10" x14ac:dyDescent="0.25">
      <c r="A23" t="s">
        <v>21</v>
      </c>
      <c r="B23" t="s">
        <v>16</v>
      </c>
      <c r="C23">
        <v>26</v>
      </c>
      <c r="D23" s="1"/>
      <c r="J23">
        <f>21*0.85</f>
        <v>17.849999999999998</v>
      </c>
    </row>
    <row r="24" spans="1:10" x14ac:dyDescent="0.25">
      <c r="A24" t="s">
        <v>23</v>
      </c>
      <c r="B24" t="s">
        <v>16</v>
      </c>
      <c r="C24">
        <v>24</v>
      </c>
      <c r="D24" s="1"/>
      <c r="J24">
        <f>J23*300</f>
        <v>5354.9999999999991</v>
      </c>
    </row>
    <row r="25" spans="1:10" x14ac:dyDescent="0.25">
      <c r="A25" t="s">
        <v>24</v>
      </c>
      <c r="B25" t="s">
        <v>16</v>
      </c>
      <c r="C25">
        <v>18</v>
      </c>
      <c r="D25" s="1"/>
    </row>
    <row r="26" spans="1:10" x14ac:dyDescent="0.25">
      <c r="A26" t="s">
        <v>25</v>
      </c>
      <c r="B26" t="s">
        <v>16</v>
      </c>
      <c r="C26">
        <v>9</v>
      </c>
      <c r="D26" s="1"/>
    </row>
    <row r="27" spans="1:10" x14ac:dyDescent="0.25">
      <c r="A27" t="s">
        <v>26</v>
      </c>
      <c r="B27" t="s">
        <v>16</v>
      </c>
      <c r="C27">
        <v>12</v>
      </c>
      <c r="D27" s="1"/>
    </row>
    <row r="28" spans="1:10" x14ac:dyDescent="0.25">
      <c r="A28" t="s">
        <v>27</v>
      </c>
      <c r="B28" t="s">
        <v>16</v>
      </c>
      <c r="C28">
        <v>7</v>
      </c>
      <c r="D28" s="1"/>
    </row>
    <row r="29" spans="1:10" x14ac:dyDescent="0.25">
      <c r="A29" t="s">
        <v>28</v>
      </c>
      <c r="B29" t="s">
        <v>16</v>
      </c>
      <c r="C29">
        <v>7</v>
      </c>
      <c r="D29" s="1"/>
    </row>
    <row r="30" spans="1:10" x14ac:dyDescent="0.25">
      <c r="A30" t="s">
        <v>29</v>
      </c>
      <c r="B30" t="s">
        <v>16</v>
      </c>
      <c r="C30">
        <v>2</v>
      </c>
      <c r="D30" s="1"/>
    </row>
    <row r="31" spans="1:10" x14ac:dyDescent="0.25">
      <c r="A31" t="s">
        <v>30</v>
      </c>
      <c r="B31" t="s">
        <v>16</v>
      </c>
      <c r="C31">
        <v>15</v>
      </c>
      <c r="D31" s="1"/>
    </row>
    <row r="32" spans="1:10" x14ac:dyDescent="0.25">
      <c r="A32" t="s">
        <v>31</v>
      </c>
      <c r="B32" t="s">
        <v>16</v>
      </c>
      <c r="C32">
        <v>42</v>
      </c>
      <c r="D32" s="1"/>
    </row>
    <row r="33" spans="1:4" x14ac:dyDescent="0.25">
      <c r="A33" t="s">
        <v>32</v>
      </c>
      <c r="B33" t="s">
        <v>16</v>
      </c>
      <c r="C33">
        <v>3</v>
      </c>
      <c r="D33" s="1"/>
    </row>
    <row r="34" spans="1:4" x14ac:dyDescent="0.25">
      <c r="A34" t="s">
        <v>33</v>
      </c>
      <c r="B34" t="s">
        <v>16</v>
      </c>
      <c r="C34">
        <v>1</v>
      </c>
      <c r="D34" s="1"/>
    </row>
    <row r="35" spans="1:4" x14ac:dyDescent="0.25">
      <c r="A35" t="s">
        <v>34</v>
      </c>
      <c r="B35" t="s">
        <v>16</v>
      </c>
      <c r="C35">
        <v>2</v>
      </c>
      <c r="D35" s="1"/>
    </row>
    <row r="36" spans="1:4" x14ac:dyDescent="0.25">
      <c r="A36" t="s">
        <v>35</v>
      </c>
      <c r="B36" t="s">
        <v>16</v>
      </c>
      <c r="C36">
        <v>3</v>
      </c>
      <c r="D36" s="1"/>
    </row>
    <row r="37" spans="1:4" x14ac:dyDescent="0.25">
      <c r="A37" t="s">
        <v>36</v>
      </c>
      <c r="B37" t="s">
        <v>16</v>
      </c>
      <c r="C37">
        <v>7</v>
      </c>
      <c r="D37" s="1"/>
    </row>
    <row r="38" spans="1:4" x14ac:dyDescent="0.25">
      <c r="A38" t="s">
        <v>37</v>
      </c>
      <c r="B38" t="s">
        <v>16</v>
      </c>
      <c r="C38">
        <v>25</v>
      </c>
      <c r="D38" s="1"/>
    </row>
    <row r="39" spans="1:4" x14ac:dyDescent="0.25">
      <c r="A39" t="s">
        <v>41</v>
      </c>
      <c r="B39" t="s">
        <v>39</v>
      </c>
      <c r="C39">
        <v>30</v>
      </c>
      <c r="D39" s="1"/>
    </row>
    <row r="40" spans="1:4" x14ac:dyDescent="0.25">
      <c r="A40" t="s">
        <v>42</v>
      </c>
      <c r="B40" t="s">
        <v>39</v>
      </c>
      <c r="C40">
        <v>14</v>
      </c>
      <c r="D40" s="1"/>
    </row>
    <row r="41" spans="1:4" x14ac:dyDescent="0.25">
      <c r="A41" t="s">
        <v>40</v>
      </c>
      <c r="B41" t="s">
        <v>39</v>
      </c>
      <c r="C41">
        <v>40</v>
      </c>
      <c r="D41" s="1"/>
    </row>
    <row r="42" spans="1:4" x14ac:dyDescent="0.25">
      <c r="A42" t="s">
        <v>43</v>
      </c>
      <c r="B42" t="s">
        <v>39</v>
      </c>
      <c r="C42">
        <v>120</v>
      </c>
      <c r="D42" s="1"/>
    </row>
    <row r="43" spans="1:4" x14ac:dyDescent="0.25">
      <c r="A43" t="s">
        <v>44</v>
      </c>
      <c r="B43" t="s">
        <v>39</v>
      </c>
      <c r="C43">
        <v>240</v>
      </c>
      <c r="D43" s="1"/>
    </row>
    <row r="44" spans="1:4" x14ac:dyDescent="0.25">
      <c r="A44" t="s">
        <v>63</v>
      </c>
      <c r="B44" t="s">
        <v>64</v>
      </c>
      <c r="C44">
        <v>8</v>
      </c>
      <c r="D44" s="1"/>
    </row>
    <row r="45" spans="1:4" x14ac:dyDescent="0.25">
      <c r="A45" t="s">
        <v>65</v>
      </c>
      <c r="B45" t="s">
        <v>64</v>
      </c>
      <c r="C45">
        <v>2</v>
      </c>
      <c r="D45" s="1"/>
    </row>
    <row r="46" spans="1:4" x14ac:dyDescent="0.25">
      <c r="A46" t="s">
        <v>70</v>
      </c>
      <c r="B46" t="s">
        <v>64</v>
      </c>
      <c r="C46">
        <v>2</v>
      </c>
      <c r="D46" s="1"/>
    </row>
    <row r="47" spans="1:4" x14ac:dyDescent="0.25">
      <c r="A47" t="s">
        <v>66</v>
      </c>
      <c r="B47" t="s">
        <v>64</v>
      </c>
      <c r="C47">
        <v>2</v>
      </c>
      <c r="D47" s="1"/>
    </row>
    <row r="48" spans="1:4" x14ac:dyDescent="0.25">
      <c r="A48" t="s">
        <v>67</v>
      </c>
      <c r="B48" t="s">
        <v>68</v>
      </c>
      <c r="C48">
        <v>11</v>
      </c>
      <c r="D48" s="1"/>
    </row>
    <row r="49" spans="1:4" x14ac:dyDescent="0.25">
      <c r="A49" t="s">
        <v>69</v>
      </c>
      <c r="B49" t="s">
        <v>68</v>
      </c>
      <c r="C49">
        <v>7</v>
      </c>
      <c r="D49" s="1"/>
    </row>
    <row r="50" spans="1:4" x14ac:dyDescent="0.25">
      <c r="A50" t="s">
        <v>72</v>
      </c>
      <c r="B50" t="s">
        <v>10</v>
      </c>
      <c r="D50" s="1"/>
    </row>
    <row r="51" spans="1:4" x14ac:dyDescent="0.25">
      <c r="D51" s="1"/>
    </row>
    <row r="52" spans="1:4" x14ac:dyDescent="0.25">
      <c r="D52" s="1"/>
    </row>
    <row r="53" spans="1:4" x14ac:dyDescent="0.25">
      <c r="D53" s="1"/>
    </row>
    <row r="54" spans="1:4" x14ac:dyDescent="0.25">
      <c r="D54" s="1"/>
    </row>
    <row r="55" spans="1:4" x14ac:dyDescent="0.25">
      <c r="D55" s="1"/>
    </row>
    <row r="56" spans="1:4" x14ac:dyDescent="0.25">
      <c r="D56" s="1"/>
    </row>
    <row r="57" spans="1:4" x14ac:dyDescent="0.25">
      <c r="D57" s="1"/>
    </row>
    <row r="58" spans="1:4" x14ac:dyDescent="0.25">
      <c r="D58" s="1"/>
    </row>
    <row r="59" spans="1:4" x14ac:dyDescent="0.25">
      <c r="D59" s="1"/>
    </row>
    <row r="60" spans="1:4" x14ac:dyDescent="0.25">
      <c r="D60" s="1"/>
    </row>
    <row r="61" spans="1:4" x14ac:dyDescent="0.25">
      <c r="D61" s="1"/>
    </row>
    <row r="62" spans="1:4" x14ac:dyDescent="0.25">
      <c r="D62" s="1"/>
    </row>
    <row r="63" spans="1:4" x14ac:dyDescent="0.25">
      <c r="D63" s="1"/>
    </row>
    <row r="64" spans="1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hyperlinks>
    <hyperlink ref="D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N20"/>
  <sheetViews>
    <sheetView tabSelected="1" topLeftCell="A4" workbookViewId="0">
      <selection activeCell="S23" sqref="S23"/>
    </sheetView>
  </sheetViews>
  <sheetFormatPr defaultRowHeight="15" x14ac:dyDescent="0.25"/>
  <cols>
    <col min="4" max="4" width="18.28515625" bestFit="1" customWidth="1"/>
    <col min="5" max="5" width="16.5703125" bestFit="1" customWidth="1"/>
    <col min="6" max="6" width="12" customWidth="1"/>
    <col min="7" max="7" width="10.140625" bestFit="1" customWidth="1"/>
    <col min="8" max="8" width="12" customWidth="1"/>
    <col min="9" max="9" width="12.5703125" bestFit="1" customWidth="1"/>
    <col min="10" max="10" width="12" customWidth="1"/>
    <col min="11" max="11" width="9.5703125" customWidth="1"/>
    <col min="12" max="12" width="12" customWidth="1"/>
    <col min="13" max="13" width="10.5703125" bestFit="1" customWidth="1"/>
    <col min="14" max="14" width="12" customWidth="1"/>
  </cols>
  <sheetData>
    <row r="12" spans="4:14" x14ac:dyDescent="0.25">
      <c r="D12" s="2" t="s">
        <v>52</v>
      </c>
      <c r="E12" s="7" t="s">
        <v>53</v>
      </c>
      <c r="F12" s="7" t="s">
        <v>54</v>
      </c>
      <c r="G12" s="8" t="s">
        <v>55</v>
      </c>
      <c r="H12" s="8" t="s">
        <v>56</v>
      </c>
      <c r="I12" s="14" t="s">
        <v>57</v>
      </c>
      <c r="J12" s="14" t="s">
        <v>58</v>
      </c>
      <c r="K12" s="9" t="s">
        <v>59</v>
      </c>
      <c r="L12" s="9" t="s">
        <v>60</v>
      </c>
      <c r="M12" s="6" t="s">
        <v>61</v>
      </c>
      <c r="N12" s="6" t="s">
        <v>62</v>
      </c>
    </row>
    <row r="13" spans="4:14" x14ac:dyDescent="0.25">
      <c r="D13" t="s">
        <v>41</v>
      </c>
      <c r="E13" t="s">
        <v>17</v>
      </c>
      <c r="F13">
        <v>4</v>
      </c>
    </row>
    <row r="14" spans="4:14" x14ac:dyDescent="0.25">
      <c r="D14" t="s">
        <v>42</v>
      </c>
      <c r="E14" t="s">
        <v>18</v>
      </c>
      <c r="F14">
        <v>4</v>
      </c>
    </row>
    <row r="15" spans="4:14" x14ac:dyDescent="0.25">
      <c r="D15" t="s">
        <v>40</v>
      </c>
      <c r="E15" t="s">
        <v>18</v>
      </c>
      <c r="F15">
        <v>5</v>
      </c>
      <c r="G15" t="s">
        <v>24</v>
      </c>
      <c r="H15">
        <v>1</v>
      </c>
    </row>
    <row r="16" spans="4:14" x14ac:dyDescent="0.25">
      <c r="D16" t="s">
        <v>43</v>
      </c>
      <c r="E16" t="s">
        <v>20</v>
      </c>
      <c r="F16">
        <v>5</v>
      </c>
      <c r="G16" t="s">
        <v>25</v>
      </c>
      <c r="H16">
        <v>2</v>
      </c>
    </row>
    <row r="17" spans="4:10" x14ac:dyDescent="0.25">
      <c r="D17" t="s">
        <v>44</v>
      </c>
      <c r="E17" t="s">
        <v>21</v>
      </c>
      <c r="F17">
        <v>6</v>
      </c>
      <c r="G17" t="s">
        <v>24</v>
      </c>
      <c r="H17">
        <v>2</v>
      </c>
      <c r="I17" t="s">
        <v>25</v>
      </c>
      <c r="J17">
        <v>2</v>
      </c>
    </row>
    <row r="18" spans="4:10" x14ac:dyDescent="0.25">
      <c r="D18" t="s">
        <v>67</v>
      </c>
      <c r="E18" t="s">
        <v>65</v>
      </c>
      <c r="F18">
        <v>4</v>
      </c>
      <c r="G18" t="s">
        <v>66</v>
      </c>
      <c r="H18">
        <v>1</v>
      </c>
    </row>
    <row r="19" spans="4:10" x14ac:dyDescent="0.25">
      <c r="D19" t="s">
        <v>69</v>
      </c>
      <c r="E19" t="s">
        <v>71</v>
      </c>
      <c r="F19">
        <v>4</v>
      </c>
      <c r="G19" t="s">
        <v>67</v>
      </c>
      <c r="H19">
        <v>1</v>
      </c>
    </row>
    <row r="20" spans="4:10" x14ac:dyDescent="0.25">
      <c r="D20" t="s">
        <v>72</v>
      </c>
      <c r="E20" t="s">
        <v>5</v>
      </c>
      <c r="F20">
        <v>5</v>
      </c>
      <c r="G20" t="s">
        <v>8</v>
      </c>
      <c r="H20">
        <v>1</v>
      </c>
      <c r="I20" t="s">
        <v>63</v>
      </c>
      <c r="J20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N201"/>
  <sheetViews>
    <sheetView zoomScale="115" zoomScaleNormal="115" workbookViewId="0">
      <selection activeCell="E25" sqref="E25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3.42578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76</v>
      </c>
    </row>
    <row r="2" spans="1:14" x14ac:dyDescent="0.25">
      <c r="A2" t="s">
        <v>41</v>
      </c>
      <c r="B2" s="4">
        <v>5.5</v>
      </c>
    </row>
    <row r="3" spans="1:14" x14ac:dyDescent="0.25">
      <c r="A3" t="s">
        <v>67</v>
      </c>
      <c r="B3" s="4">
        <v>-0.65000000000000036</v>
      </c>
    </row>
    <row r="4" spans="1:14" x14ac:dyDescent="0.25">
      <c r="A4" t="s">
        <v>69</v>
      </c>
      <c r="B4" s="4">
        <v>-5.05</v>
      </c>
    </row>
    <row r="5" spans="1:14" x14ac:dyDescent="0.25">
      <c r="A5" t="s">
        <v>44</v>
      </c>
      <c r="B5" s="4">
        <v>-6</v>
      </c>
    </row>
    <row r="6" spans="1:14" x14ac:dyDescent="0.25">
      <c r="A6" t="s">
        <v>42</v>
      </c>
      <c r="B6" s="4">
        <v>-16.100000000000001</v>
      </c>
    </row>
    <row r="7" spans="1:14" x14ac:dyDescent="0.25">
      <c r="A7" t="s">
        <v>40</v>
      </c>
      <c r="B7" s="4">
        <v>-19</v>
      </c>
    </row>
    <row r="8" spans="1:14" x14ac:dyDescent="0.25">
      <c r="A8" t="s">
        <v>43</v>
      </c>
      <c r="B8" s="4">
        <v>-21</v>
      </c>
      <c r="F8" s="15" t="s">
        <v>77</v>
      </c>
      <c r="G8" s="16"/>
    </row>
    <row r="9" spans="1:14" x14ac:dyDescent="0.25">
      <c r="A9" t="s">
        <v>72</v>
      </c>
      <c r="B9" s="4">
        <v>-24</v>
      </c>
      <c r="F9" s="16"/>
      <c r="G9" s="16"/>
    </row>
    <row r="10" spans="1:14" x14ac:dyDescent="0.25">
      <c r="B10" s="4"/>
      <c r="F10" s="16"/>
      <c r="G10" s="16"/>
    </row>
    <row r="11" spans="1:14" x14ac:dyDescent="0.25">
      <c r="B11" s="4"/>
      <c r="J11" s="10" t="s">
        <v>73</v>
      </c>
      <c r="K11" s="10"/>
    </row>
    <row r="12" spans="1:14" x14ac:dyDescent="0.25">
      <c r="B12" s="4"/>
    </row>
    <row r="13" spans="1:14" x14ac:dyDescent="0.25">
      <c r="B13" s="4"/>
      <c r="J13" t="s">
        <v>78</v>
      </c>
    </row>
    <row r="14" spans="1:14" x14ac:dyDescent="0.25">
      <c r="B14" s="4"/>
      <c r="E14" s="2" t="s">
        <v>50</v>
      </c>
      <c r="F14" s="2" t="s">
        <v>46</v>
      </c>
      <c r="G14" s="2" t="s">
        <v>45</v>
      </c>
      <c r="H14" s="2" t="s">
        <v>47</v>
      </c>
      <c r="I14" s="2" t="s">
        <v>48</v>
      </c>
      <c r="J14" s="2" t="s">
        <v>49</v>
      </c>
      <c r="K14" s="2" t="s">
        <v>80</v>
      </c>
      <c r="L14" s="2" t="s">
        <v>79</v>
      </c>
      <c r="M14" s="2" t="s">
        <v>75</v>
      </c>
      <c r="N14" s="2" t="s">
        <v>51</v>
      </c>
    </row>
    <row r="15" spans="1:14" x14ac:dyDescent="0.25">
      <c r="B15" s="4"/>
      <c r="E15" s="3">
        <v>0.15</v>
      </c>
      <c r="F15" t="s">
        <v>41</v>
      </c>
      <c r="G15" t="str">
        <f>IFERROR(VLOOKUP($F$15,'ingredient table'!$D$13:$N$200,2,FALSE),"")</f>
        <v>copper ore</v>
      </c>
      <c r="H15">
        <f>IFERROR(VLOOKUP($F$15,'ingredient table'!$D$13:$N$200,3,FALSE),"")</f>
        <v>4</v>
      </c>
      <c r="I15">
        <f>IFERROR(VLOOKUP($G15,vals!$A$8:$E$200,3,FALSE),"")</f>
        <v>5</v>
      </c>
      <c r="J15">
        <f>IFERROR(VLOOKUP($F15,vals!$A$8:$E$200,3,FALSE),"")</f>
        <v>30</v>
      </c>
      <c r="K15">
        <f>Table134[[#This Row],[market output price]]*(1-Table134[[#This Row],[Tax Rate]])</f>
        <v>25.5</v>
      </c>
      <c r="L15" s="5">
        <f>SUMPRODUCT(Table134[input quantity],Table134[market input price])</f>
        <v>20</v>
      </c>
      <c r="M15" s="4">
        <f>IFERROR(Table134[[#This Row],[after-tax market output price]]-Table134[[#This Row],[cost of production]],"")</f>
        <v>5.5</v>
      </c>
      <c r="N15" s="4">
        <f>SUMPRODUCT(H15:H19,I15:I19)/(1-Table134[[#This Row],[Tax Rate]])</f>
        <v>23.529411764705884</v>
      </c>
    </row>
    <row r="16" spans="1:14" x14ac:dyDescent="0.25">
      <c r="B16" s="4"/>
      <c r="G16">
        <f>IFERROR(VLOOKUP($F$15,'ingredient table'!$D$13:$N$200,4,FALSE),"")</f>
        <v>0</v>
      </c>
      <c r="H16">
        <f>IFERROR(VLOOKUP($F$15,'ingredient table'!$D$13:$N$200,5,FALSE),"")</f>
        <v>0</v>
      </c>
      <c r="I16" t="str">
        <f>IFERROR(VLOOKUP($G16,vals!$A$8:$E$200,3,FALSE),"")</f>
        <v/>
      </c>
      <c r="J16" t="str">
        <f>IFERROR(VLOOKUP($F16,vals!$A$8:$E$200,3,FALSE),"")</f>
        <v/>
      </c>
      <c r="N16" s="5"/>
    </row>
    <row r="17" spans="2:14" x14ac:dyDescent="0.25">
      <c r="B17" s="4"/>
      <c r="G17">
        <f>IFERROR(VLOOKUP($F$15,'ingredient table'!$D$13:$N$200,6,FALSE),"")</f>
        <v>0</v>
      </c>
      <c r="H17">
        <f>IFERROR(VLOOKUP($F$15,'ingredient table'!$D$13:$N$200,7,FALSE),"")</f>
        <v>0</v>
      </c>
      <c r="I17" t="str">
        <f>IFERROR(VLOOKUP($G17,vals!$A$8:$E$200,3,FALSE),"")</f>
        <v/>
      </c>
      <c r="J17" t="str">
        <f>IFERROR(VLOOKUP($F17,vals!$A$8:$E$200,3,FALSE),"")</f>
        <v/>
      </c>
      <c r="N17" s="5"/>
    </row>
    <row r="18" spans="2:14" x14ac:dyDescent="0.25">
      <c r="B18" s="4"/>
      <c r="G18">
        <f>IFERROR(VLOOKUP($F$15,'ingredient table'!$D$13:$N$200,8,FALSE),"")</f>
        <v>0</v>
      </c>
      <c r="H18">
        <f>IFERROR(VLOOKUP($F$15,'ingredient table'!$D$13:$N$200,9,FALSE),"")</f>
        <v>0</v>
      </c>
      <c r="I18" t="str">
        <f>IFERROR(VLOOKUP($G18,vals!$A$8:$E$200,3,FALSE),"")</f>
        <v/>
      </c>
      <c r="J18" t="str">
        <f>IFERROR(VLOOKUP($F18,vals!$A$8:$E$200,3,FALSE),"")</f>
        <v/>
      </c>
      <c r="N18" s="5"/>
    </row>
    <row r="19" spans="2:14" x14ac:dyDescent="0.25">
      <c r="B19" s="4"/>
      <c r="G19">
        <f>IFERROR(VLOOKUP($F$15,'ingredient table'!$D$13:$N$200,10,FALSE),"")</f>
        <v>0</v>
      </c>
      <c r="H19">
        <f>IFERROR(VLOOKUP($F$15,'ingredient table'!$D$13:$N$200,11,FALSE),"")</f>
        <v>0</v>
      </c>
      <c r="I19" t="str">
        <f>IFERROR(VLOOKUP($G19,vals!$A$8:$E$200,3,FALSE),"")</f>
        <v/>
      </c>
      <c r="J19" t="str">
        <f>IFERROR(VLOOKUP($F19,vals!$A$8:$E$200,3,FALSE),"")</f>
        <v/>
      </c>
      <c r="N19" s="5"/>
    </row>
    <row r="20" spans="2:14" x14ac:dyDescent="0.25">
      <c r="B20" s="4"/>
      <c r="I20" t="str">
        <f>IFERROR(VLOOKUP($G20,vals!$A$8:$E$200,3,FALSE),"")</f>
        <v/>
      </c>
      <c r="J20" t="str">
        <f>IFERROR(VLOOKUP($F20,vals!$A$8:$E$200,3,FALSE),"")</f>
        <v/>
      </c>
    </row>
    <row r="21" spans="2:14" x14ac:dyDescent="0.25">
      <c r="B21" s="4"/>
      <c r="I21" t="str">
        <f>IFERROR(VLOOKUP($G21,vals!$A$8:$E$200,3,FALSE),"")</f>
        <v/>
      </c>
      <c r="J21" t="str">
        <f>IFERROR(VLOOKUP($F21,vals!$A$8:$E$200,3,FALSE),"")</f>
        <v/>
      </c>
      <c r="L21" s="5"/>
    </row>
    <row r="22" spans="2:14" x14ac:dyDescent="0.25">
      <c r="B22" s="4"/>
      <c r="I22" t="str">
        <f>IFERROR(VLOOKUP($G22,vals!$A$8:$E$200,3,FALSE),"")</f>
        <v/>
      </c>
      <c r="J22" t="str">
        <f>IFERROR(VLOOKUP($F22,vals!$A$8:$E$200,3,FALSE),"")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7CA7C434-67C0-4513-AC97-3015B3287884}">
          <x14:formula1>
            <xm:f>vals!$A$7:$A$200</xm:f>
          </x14:formula1>
          <xm:sqref>G20:G22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vals</vt:lpstr>
      <vt:lpstr>ingredient table</vt:lpstr>
      <vt:lpstr>manufacturing calc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dcterms:created xsi:type="dcterms:W3CDTF">2015-06-05T18:17:20Z</dcterms:created>
  <dcterms:modified xsi:type="dcterms:W3CDTF">2022-02-09T19:06:07Z</dcterms:modified>
</cp:coreProperties>
</file>